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86319201-FE46-4D42-BEFE-84B24020AD54}" xr6:coauthVersionLast="47" xr6:coauthVersionMax="47" xr10:uidLastSave="{00000000-0000-0000-0000-000000000000}"/>
  <bookViews>
    <workbookView xWindow="0" yWindow="760" windowWidth="20740" windowHeight="11160" xr2:uid="{EDEF9EB7-1730-4156-98F3-90169740157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  <c r="M91" i="1"/>
  <c r="K69" i="1"/>
  <c r="M69" i="1"/>
  <c r="I69" i="1"/>
  <c r="C91" i="1"/>
  <c r="C69" i="1"/>
  <c r="M24" i="1"/>
  <c r="K24" i="1"/>
  <c r="I24" i="1"/>
  <c r="I97" i="1" l="1"/>
  <c r="I98" i="1" s="1"/>
  <c r="M97" i="1"/>
  <c r="M98" i="1" s="1"/>
  <c r="C98" i="1"/>
  <c r="K97" i="1"/>
  <c r="K98" i="1" s="1"/>
</calcChain>
</file>

<file path=xl/sharedStrings.xml><?xml version="1.0" encoding="utf-8"?>
<sst xmlns="http://schemas.openxmlformats.org/spreadsheetml/2006/main" count="124" uniqueCount="94">
  <si>
    <t xml:space="preserve">CCT </t>
  </si>
  <si>
    <t>Beginn</t>
  </si>
  <si>
    <t>LZ</t>
  </si>
  <si>
    <t>Miete/qm</t>
  </si>
  <si>
    <t>Miete</t>
  </si>
  <si>
    <t>MwSt</t>
  </si>
  <si>
    <t>Flächen qm</t>
  </si>
  <si>
    <t>30.06.2023</t>
  </si>
  <si>
    <t>NK</t>
  </si>
  <si>
    <t>Wengert Cat.</t>
  </si>
  <si>
    <t>01.10.2019</t>
  </si>
  <si>
    <t>Strobel Whg.</t>
  </si>
  <si>
    <t>01.08.2018</t>
  </si>
  <si>
    <t>Mehovic Whg.</t>
  </si>
  <si>
    <t>Schmid Whg.</t>
  </si>
  <si>
    <t xml:space="preserve">Gesamtmiete </t>
  </si>
  <si>
    <t>UG</t>
  </si>
  <si>
    <t>TDL</t>
  </si>
  <si>
    <t>Intamsys</t>
  </si>
  <si>
    <t>01.08.2021</t>
  </si>
  <si>
    <t>31.07.2024</t>
  </si>
  <si>
    <t>EG</t>
  </si>
  <si>
    <t>Reutter</t>
  </si>
  <si>
    <t>01.03.2022</t>
  </si>
  <si>
    <t>29.02.2024</t>
  </si>
  <si>
    <t>1.OG</t>
  </si>
  <si>
    <t>01.06.2018</t>
  </si>
  <si>
    <t>31.05.2028</t>
  </si>
  <si>
    <t>li Intamsys</t>
  </si>
  <si>
    <t>01.08.2022</t>
  </si>
  <si>
    <t>2.OG</t>
  </si>
  <si>
    <t>rechts KB</t>
  </si>
  <si>
    <t>ASM</t>
  </si>
  <si>
    <t>Eye Gents Böhm</t>
  </si>
  <si>
    <t>01.10.2021</t>
  </si>
  <si>
    <t>01.01.2022</t>
  </si>
  <si>
    <t>3.OG</t>
  </si>
  <si>
    <t>Wengert</t>
  </si>
  <si>
    <t>01.07.2023</t>
  </si>
  <si>
    <t>30.06.2028</t>
  </si>
  <si>
    <t>ab 01.07.25</t>
  </si>
  <si>
    <t>4.OG NC</t>
  </si>
  <si>
    <t>Gesamtmiete</t>
  </si>
  <si>
    <t>MO</t>
  </si>
  <si>
    <t>Centax</t>
  </si>
  <si>
    <t>YESSS</t>
  </si>
  <si>
    <t>Fröhlich</t>
  </si>
  <si>
    <t>01.10.2018</t>
  </si>
  <si>
    <t>TG</t>
  </si>
  <si>
    <t>AWS</t>
  </si>
  <si>
    <t>L+K</t>
  </si>
  <si>
    <t>Schnüpke</t>
  </si>
  <si>
    <t>Seibold</t>
  </si>
  <si>
    <t>Kelm</t>
  </si>
  <si>
    <t>Gesamt</t>
  </si>
  <si>
    <t>Zeppelinstr. 33</t>
  </si>
  <si>
    <t>Zeppelinstr. 35</t>
  </si>
  <si>
    <t>Zeppelinstr. 35/1</t>
  </si>
  <si>
    <t>01.01.2018</t>
  </si>
  <si>
    <t>CCT</t>
  </si>
  <si>
    <t>Stlp.</t>
  </si>
  <si>
    <t>NC Verwaltungs-GmbH Ostfildern Kemnat</t>
  </si>
  <si>
    <t>Gesamt p.a.</t>
  </si>
  <si>
    <t>NK 1650</t>
  </si>
  <si>
    <t>01.08.2023</t>
  </si>
  <si>
    <t>216 m²</t>
  </si>
  <si>
    <t>ATF</t>
  </si>
  <si>
    <t>410 m²</t>
  </si>
  <si>
    <t>01.09.2023</t>
  </si>
  <si>
    <t>100 m²</t>
  </si>
  <si>
    <t>105 m²</t>
  </si>
  <si>
    <t>01.11.2023</t>
  </si>
  <si>
    <t>re Müller Martini</t>
  </si>
  <si>
    <t>3965 m²</t>
  </si>
  <si>
    <t>WERBORO</t>
  </si>
  <si>
    <t>39 / 37)</t>
  </si>
  <si>
    <t>01.03.2024</t>
  </si>
  <si>
    <t>GBMA</t>
  </si>
  <si>
    <t>10m</t>
  </si>
  <si>
    <t>ab10/24</t>
  </si>
  <si>
    <t>Staffel 06/25</t>
  </si>
  <si>
    <t>bis 09/23</t>
  </si>
  <si>
    <t>re SenKonzept</t>
  </si>
  <si>
    <t>ab.01.03.26</t>
  </si>
  <si>
    <t>Leonhardt</t>
  </si>
  <si>
    <t>DnA Auto</t>
  </si>
  <si>
    <t>Scheider</t>
  </si>
  <si>
    <t>Ind.</t>
  </si>
  <si>
    <t>Milan Rerko</t>
  </si>
  <si>
    <t>10 m²</t>
  </si>
  <si>
    <t>Neidlinger</t>
  </si>
  <si>
    <t xml:space="preserve"> </t>
  </si>
  <si>
    <t>Mieterliste 07/2026</t>
  </si>
  <si>
    <t>Salini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</si>
</sst>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"/>
    <numFmt numFmtId="165" formatCode="d\.m\.yyyy;@"/>
    <numFmt numFmtId="166" formatCode="0.0\ &quot;m²&quot;"/>
    <numFmt numFmtId="167" formatCode="0\ &quot;m²&quot;"/>
    <numFmt numFmtId="168" formatCode="dd/mm/yyyy;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67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7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7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/>
    <xf numFmtId="164" fontId="2" fillId="0" borderId="0" xfId="0" applyNumberFormat="1" applyFont="1"/>
    <xf numFmtId="165" fontId="0" fillId="2" borderId="0" xfId="0" applyNumberFormat="1" applyFill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5" fontId="0" fillId="3" borderId="0" xfId="0" applyNumberForma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CB6C-4F43-43E7-B9A7-4AD3E466ED69}">
  <dimension ref="A1:N99"/>
  <sheetViews>
    <sheetView tabSelected="1" topLeftCell="A89" zoomScale="143" workbookViewId="0">
      <selection activeCell="H93" sqref="H93"/>
    </sheetView>
  </sheetViews>
  <sheetFormatPr baseColWidth="10" defaultRowHeight="15" x14ac:dyDescent="0.2"/>
  <cols>
    <col min="1" max="1" width="13.33203125" style="11" customWidth="1"/>
    <col min="2" max="2" width="5.83203125" customWidth="1"/>
    <col min="3" max="3" width="11.1640625" style="2" customWidth="1"/>
    <col min="4" max="4" width="5" style="3" customWidth="1"/>
    <col min="5" max="5" width="11.1640625" style="5" bestFit="1" customWidth="1"/>
    <col min="6" max="6" width="10.6640625" style="5"/>
    <col min="7" max="7" width="10.6640625" style="6"/>
    <col min="8" max="8" width="4.6640625" style="6" customWidth="1"/>
    <col min="9" max="9" width="12.6640625" style="6" bestFit="1" customWidth="1"/>
    <col min="10" max="10" width="4.33203125" style="6" customWidth="1"/>
    <col min="11" max="11" width="11.1640625" style="6" bestFit="1" customWidth="1"/>
    <col min="12" max="12" width="4.33203125" style="6" customWidth="1"/>
    <col min="13" max="13" width="11.1640625" style="6" bestFit="1" customWidth="1"/>
  </cols>
  <sheetData>
    <row r="1" spans="1:13" x14ac:dyDescent="0.2">
      <c r="A1" s="10" t="s">
        <v>92</v>
      </c>
      <c r="B1" s="1"/>
      <c r="E1" s="4"/>
      <c r="G1" s="14" t="s">
        <v>61</v>
      </c>
    </row>
    <row r="3" spans="1:13" x14ac:dyDescent="0.2">
      <c r="A3" s="10" t="s">
        <v>55</v>
      </c>
      <c r="B3" s="1"/>
      <c r="C3" s="12" t="s">
        <v>6</v>
      </c>
      <c r="D3" s="13"/>
      <c r="E3" s="4" t="s">
        <v>1</v>
      </c>
      <c r="F3" s="4" t="s">
        <v>2</v>
      </c>
      <c r="G3" s="14" t="s">
        <v>3</v>
      </c>
      <c r="H3" s="14"/>
      <c r="I3" s="14" t="s">
        <v>4</v>
      </c>
      <c r="J3" s="14"/>
      <c r="K3" s="14" t="s">
        <v>8</v>
      </c>
      <c r="L3" s="14"/>
      <c r="M3" s="14" t="s">
        <v>5</v>
      </c>
    </row>
    <row r="5" spans="1:13" x14ac:dyDescent="0.2">
      <c r="A5" s="11" t="s">
        <v>59</v>
      </c>
      <c r="C5" s="7">
        <v>2212</v>
      </c>
    </row>
    <row r="6" spans="1:13" x14ac:dyDescent="0.2">
      <c r="A6" s="11" t="s">
        <v>59</v>
      </c>
      <c r="C6" s="7">
        <v>666</v>
      </c>
    </row>
    <row r="7" spans="1:13" x14ac:dyDescent="0.2">
      <c r="A7" s="11" t="s">
        <v>0</v>
      </c>
      <c r="C7" s="2">
        <v>2878</v>
      </c>
      <c r="E7" s="5" t="s">
        <v>58</v>
      </c>
      <c r="F7" s="5" t="s">
        <v>7</v>
      </c>
      <c r="G7" s="6">
        <v>6.35</v>
      </c>
      <c r="I7" s="6">
        <v>18000</v>
      </c>
      <c r="K7" s="6">
        <v>9000</v>
      </c>
      <c r="M7" s="6">
        <v>5130</v>
      </c>
    </row>
    <row r="11" spans="1:13" x14ac:dyDescent="0.2">
      <c r="A11" s="11" t="s">
        <v>66</v>
      </c>
      <c r="C11" s="2" t="s">
        <v>67</v>
      </c>
      <c r="E11" s="5" t="s">
        <v>68</v>
      </c>
      <c r="G11" s="6">
        <v>5</v>
      </c>
      <c r="I11" s="6">
        <v>2130</v>
      </c>
      <c r="K11" s="6">
        <v>410</v>
      </c>
      <c r="M11" s="6">
        <v>482.6</v>
      </c>
    </row>
    <row r="12" spans="1:13" x14ac:dyDescent="0.2">
      <c r="A12" s="11" t="s">
        <v>66</v>
      </c>
      <c r="C12" s="2" t="s">
        <v>69</v>
      </c>
      <c r="E12" s="5" t="s">
        <v>68</v>
      </c>
      <c r="G12" s="6">
        <v>5</v>
      </c>
      <c r="I12" s="6">
        <v>500</v>
      </c>
      <c r="K12" s="6">
        <v>100</v>
      </c>
      <c r="M12" s="6">
        <v>114</v>
      </c>
    </row>
    <row r="13" spans="1:13" x14ac:dyDescent="0.2">
      <c r="A13" s="11" t="s">
        <v>66</v>
      </c>
      <c r="C13" s="2" t="s">
        <v>70</v>
      </c>
      <c r="E13" s="5" t="s">
        <v>68</v>
      </c>
      <c r="G13" s="6">
        <v>5</v>
      </c>
      <c r="I13" s="6">
        <v>525</v>
      </c>
      <c r="K13" s="6">
        <v>105</v>
      </c>
      <c r="M13" s="6">
        <v>119.7</v>
      </c>
    </row>
    <row r="16" spans="1:13" x14ac:dyDescent="0.2">
      <c r="A16" s="11" t="s">
        <v>9</v>
      </c>
      <c r="C16" s="2">
        <v>240</v>
      </c>
      <c r="E16" s="5" t="s">
        <v>10</v>
      </c>
      <c r="F16" s="5" t="s">
        <v>79</v>
      </c>
      <c r="G16" s="6">
        <v>9.27</v>
      </c>
      <c r="I16" s="6">
        <v>2225</v>
      </c>
      <c r="K16" s="6">
        <v>1100</v>
      </c>
      <c r="M16" s="6">
        <v>631.75</v>
      </c>
    </row>
    <row r="18" spans="1:13" x14ac:dyDescent="0.2">
      <c r="A18" s="11" t="s">
        <v>11</v>
      </c>
      <c r="C18" s="2">
        <v>83</v>
      </c>
      <c r="E18" s="5" t="s">
        <v>71</v>
      </c>
      <c r="G18" s="6">
        <v>7</v>
      </c>
      <c r="I18" s="6">
        <v>581</v>
      </c>
      <c r="K18" s="6">
        <v>570</v>
      </c>
    </row>
    <row r="20" spans="1:13" x14ac:dyDescent="0.2">
      <c r="A20" s="11" t="s">
        <v>13</v>
      </c>
      <c r="C20" s="2">
        <v>74.599999999999994</v>
      </c>
      <c r="E20" s="5" t="s">
        <v>12</v>
      </c>
      <c r="G20" s="6">
        <v>8.7100000000000009</v>
      </c>
      <c r="I20" s="6">
        <v>675</v>
      </c>
      <c r="K20" s="6">
        <v>190</v>
      </c>
    </row>
    <row r="22" spans="1:13" x14ac:dyDescent="0.2">
      <c r="A22" s="11" t="s">
        <v>14</v>
      </c>
      <c r="C22" s="2">
        <v>73.599999999999994</v>
      </c>
      <c r="E22" s="5" t="s">
        <v>71</v>
      </c>
      <c r="G22" s="6">
        <v>4.5199999999999996</v>
      </c>
      <c r="I22" s="6">
        <v>333</v>
      </c>
      <c r="K22" s="6">
        <v>270</v>
      </c>
    </row>
    <row r="24" spans="1:13" s="1" customFormat="1" x14ac:dyDescent="0.2">
      <c r="A24" s="10" t="s">
        <v>15</v>
      </c>
      <c r="C24" s="12" t="s">
        <v>73</v>
      </c>
      <c r="D24" s="13"/>
      <c r="E24" s="4"/>
      <c r="F24" s="4"/>
      <c r="G24" s="14"/>
      <c r="H24" s="14"/>
      <c r="I24" s="14">
        <f>SUM(I7:I22)</f>
        <v>24969</v>
      </c>
      <c r="J24" s="14"/>
      <c r="K24" s="14">
        <f>SUM(K7:K22)</f>
        <v>11745</v>
      </c>
      <c r="L24" s="14"/>
      <c r="M24" s="14">
        <f>SUM(M7:M22)</f>
        <v>6478.05</v>
      </c>
    </row>
    <row r="35" spans="1:14" x14ac:dyDescent="0.2">
      <c r="A35" s="10" t="s">
        <v>56</v>
      </c>
      <c r="B35" s="1"/>
      <c r="C35" s="12" t="s">
        <v>6</v>
      </c>
      <c r="D35" s="13"/>
      <c r="E35" s="4" t="s">
        <v>1</v>
      </c>
      <c r="F35" s="4" t="s">
        <v>2</v>
      </c>
      <c r="G35" s="14" t="s">
        <v>3</v>
      </c>
      <c r="H35" s="14"/>
      <c r="I35" s="14" t="s">
        <v>4</v>
      </c>
      <c r="J35" s="14"/>
      <c r="K35" s="14" t="s">
        <v>8</v>
      </c>
      <c r="L35" s="14"/>
      <c r="M35" s="14" t="s">
        <v>5</v>
      </c>
    </row>
    <row r="37" spans="1:14" x14ac:dyDescent="0.2">
      <c r="A37" s="10" t="s">
        <v>16</v>
      </c>
      <c r="B37" s="1"/>
      <c r="C37" s="7">
        <v>317</v>
      </c>
      <c r="D37" s="8"/>
    </row>
    <row r="38" spans="1:14" x14ac:dyDescent="0.2">
      <c r="A38" s="11" t="s">
        <v>17</v>
      </c>
      <c r="C38" s="2">
        <v>82</v>
      </c>
      <c r="E38" s="5" t="s">
        <v>35</v>
      </c>
      <c r="G38" s="6">
        <v>5.67</v>
      </c>
      <c r="I38" s="6">
        <v>490</v>
      </c>
      <c r="K38" s="6">
        <v>163</v>
      </c>
      <c r="M38" s="6">
        <v>124.07</v>
      </c>
    </row>
    <row r="39" spans="1:14" x14ac:dyDescent="0.2">
      <c r="A39" s="11" t="s">
        <v>18</v>
      </c>
      <c r="C39" s="2">
        <v>108</v>
      </c>
      <c r="E39" s="5" t="s">
        <v>19</v>
      </c>
      <c r="F39" s="5" t="s">
        <v>20</v>
      </c>
      <c r="G39" s="6">
        <v>5.5</v>
      </c>
      <c r="I39" s="6">
        <v>594</v>
      </c>
      <c r="K39" s="6">
        <v>220</v>
      </c>
      <c r="M39" s="6">
        <v>154.66</v>
      </c>
    </row>
    <row r="40" spans="1:14" x14ac:dyDescent="0.2">
      <c r="A40" s="11" t="s">
        <v>90</v>
      </c>
      <c r="C40" s="2">
        <v>127</v>
      </c>
      <c r="E40" s="5">
        <v>45962</v>
      </c>
      <c r="F40" s="5" t="s">
        <v>91</v>
      </c>
      <c r="G40" s="6">
        <v>6</v>
      </c>
      <c r="I40" s="6">
        <v>762</v>
      </c>
      <c r="K40" s="6">
        <v>127</v>
      </c>
      <c r="M40" s="6">
        <v>168.91</v>
      </c>
    </row>
    <row r="42" spans="1:14" x14ac:dyDescent="0.2">
      <c r="A42" s="10" t="s">
        <v>21</v>
      </c>
      <c r="B42" s="1"/>
    </row>
    <row r="43" spans="1:14" x14ac:dyDescent="0.2">
      <c r="A43" s="11" t="s">
        <v>22</v>
      </c>
      <c r="C43" s="2">
        <v>415</v>
      </c>
      <c r="E43" s="5" t="s">
        <v>23</v>
      </c>
      <c r="F43" s="5" t="s">
        <v>24</v>
      </c>
      <c r="G43" s="6">
        <v>5.18</v>
      </c>
      <c r="I43" s="6">
        <v>2150</v>
      </c>
      <c r="K43" s="6">
        <v>650</v>
      </c>
      <c r="M43" s="6">
        <v>526.29999999999995</v>
      </c>
    </row>
    <row r="45" spans="1:14" x14ac:dyDescent="0.2">
      <c r="A45" s="10" t="s">
        <v>25</v>
      </c>
      <c r="B45" s="1"/>
    </row>
    <row r="46" spans="1:14" x14ac:dyDescent="0.2">
      <c r="A46" s="11" t="s">
        <v>72</v>
      </c>
      <c r="C46" s="2">
        <v>220</v>
      </c>
      <c r="E46" s="5" t="s">
        <v>26</v>
      </c>
      <c r="F46" s="5" t="s">
        <v>27</v>
      </c>
      <c r="G46" s="6">
        <v>8.32</v>
      </c>
      <c r="I46" s="6">
        <v>1831.36</v>
      </c>
      <c r="K46" s="6">
        <v>700</v>
      </c>
      <c r="M46" s="6">
        <v>480.96</v>
      </c>
    </row>
    <row r="47" spans="1:14" x14ac:dyDescent="0.2">
      <c r="A47" s="11" t="s">
        <v>28</v>
      </c>
      <c r="C47" s="2">
        <v>210</v>
      </c>
      <c r="E47" s="5" t="s">
        <v>29</v>
      </c>
      <c r="F47" s="5" t="s">
        <v>20</v>
      </c>
      <c r="G47" s="6">
        <v>8.5</v>
      </c>
      <c r="I47" s="6">
        <v>1835</v>
      </c>
      <c r="K47" s="6">
        <v>400</v>
      </c>
      <c r="M47" s="6">
        <v>384.75</v>
      </c>
      <c r="N47" s="15" t="s">
        <v>63</v>
      </c>
    </row>
    <row r="48" spans="1:14" x14ac:dyDescent="0.2">
      <c r="A48" s="11" t="s">
        <v>88</v>
      </c>
      <c r="C48" s="2" t="s">
        <v>89</v>
      </c>
      <c r="E48" s="5">
        <v>45901</v>
      </c>
      <c r="G48" s="6">
        <v>7</v>
      </c>
      <c r="I48" s="6">
        <v>70</v>
      </c>
      <c r="K48" s="6">
        <v>45</v>
      </c>
      <c r="M48" s="6">
        <v>21.85</v>
      </c>
      <c r="N48" s="15"/>
    </row>
    <row r="50" spans="1:13" x14ac:dyDescent="0.2">
      <c r="A50" s="10" t="s">
        <v>30</v>
      </c>
      <c r="B50" s="1"/>
    </row>
    <row r="51" spans="1:13" x14ac:dyDescent="0.2">
      <c r="A51" s="11" t="s">
        <v>85</v>
      </c>
      <c r="C51" s="2">
        <v>175</v>
      </c>
      <c r="E51" s="5">
        <v>45444</v>
      </c>
      <c r="F51" s="17" t="s">
        <v>80</v>
      </c>
      <c r="G51" s="6">
        <v>6</v>
      </c>
      <c r="I51" s="6">
        <v>1150</v>
      </c>
      <c r="K51" s="6">
        <v>437.5</v>
      </c>
      <c r="M51" s="6">
        <v>301.63</v>
      </c>
    </row>
    <row r="52" spans="1:13" x14ac:dyDescent="0.2">
      <c r="A52" s="10" t="s">
        <v>31</v>
      </c>
      <c r="B52" s="1"/>
      <c r="C52" s="7">
        <v>264</v>
      </c>
      <c r="D52" s="8"/>
    </row>
    <row r="53" spans="1:13" x14ac:dyDescent="0.2">
      <c r="A53" s="11" t="s">
        <v>93</v>
      </c>
      <c r="C53" s="2">
        <v>75</v>
      </c>
      <c r="E53" s="18">
        <v>46204</v>
      </c>
      <c r="G53" s="6">
        <v>9.1999999999999993</v>
      </c>
      <c r="I53" s="6">
        <v>690</v>
      </c>
      <c r="K53" s="6">
        <v>225</v>
      </c>
      <c r="M53" s="6">
        <v>173.85</v>
      </c>
    </row>
    <row r="54" spans="1:13" x14ac:dyDescent="0.2">
      <c r="A54" s="11" t="s">
        <v>32</v>
      </c>
      <c r="C54" s="2">
        <v>37</v>
      </c>
      <c r="E54" s="3" t="s">
        <v>29</v>
      </c>
      <c r="G54" s="6">
        <v>8.5</v>
      </c>
      <c r="I54" s="6">
        <v>288.5</v>
      </c>
      <c r="K54" s="6">
        <v>77.5</v>
      </c>
      <c r="M54" s="6">
        <v>69.540000000000006</v>
      </c>
    </row>
    <row r="55" spans="1:13" x14ac:dyDescent="0.2">
      <c r="A55" s="11" t="s">
        <v>33</v>
      </c>
      <c r="C55" s="2">
        <v>40</v>
      </c>
      <c r="E55" s="5" t="s">
        <v>34</v>
      </c>
      <c r="F55" s="5" t="s">
        <v>81</v>
      </c>
      <c r="G55" s="6">
        <v>8.5</v>
      </c>
      <c r="I55" s="6">
        <v>340</v>
      </c>
      <c r="K55" s="6">
        <v>100</v>
      </c>
      <c r="M55" s="6">
        <v>83.6</v>
      </c>
    </row>
    <row r="56" spans="1:13" x14ac:dyDescent="0.2">
      <c r="A56" s="11" t="s">
        <v>74</v>
      </c>
      <c r="C56" s="2" t="s">
        <v>75</v>
      </c>
      <c r="E56" s="5" t="s">
        <v>76</v>
      </c>
      <c r="G56" s="6">
        <v>8.5</v>
      </c>
      <c r="I56" s="6">
        <v>314.5</v>
      </c>
      <c r="K56" s="6">
        <v>111</v>
      </c>
      <c r="M56" s="6">
        <v>80.849999999999994</v>
      </c>
    </row>
    <row r="57" spans="1:13" x14ac:dyDescent="0.2">
      <c r="A57" s="11" t="s">
        <v>37</v>
      </c>
      <c r="C57" s="2">
        <v>75</v>
      </c>
      <c r="E57" s="5" t="s">
        <v>64</v>
      </c>
      <c r="F57" s="5" t="s">
        <v>79</v>
      </c>
      <c r="G57" s="6">
        <v>5.34</v>
      </c>
      <c r="I57" s="6">
        <v>400</v>
      </c>
      <c r="K57" s="6">
        <v>225</v>
      </c>
      <c r="M57" s="6">
        <v>118.75</v>
      </c>
    </row>
    <row r="58" spans="1:13" x14ac:dyDescent="0.2">
      <c r="A58" s="11" t="s">
        <v>77</v>
      </c>
      <c r="C58" s="2" t="s">
        <v>78</v>
      </c>
      <c r="E58" s="18">
        <v>45017</v>
      </c>
      <c r="G58" s="6">
        <v>7</v>
      </c>
      <c r="I58" s="6">
        <v>70</v>
      </c>
      <c r="K58" s="6">
        <v>30</v>
      </c>
      <c r="M58" s="6">
        <v>19</v>
      </c>
    </row>
    <row r="60" spans="1:13" x14ac:dyDescent="0.2">
      <c r="A60" s="10" t="s">
        <v>36</v>
      </c>
      <c r="B60" s="1"/>
    </row>
    <row r="61" spans="1:13" x14ac:dyDescent="0.2">
      <c r="A61" s="11" t="s">
        <v>43</v>
      </c>
      <c r="C61" s="2">
        <v>200</v>
      </c>
      <c r="E61" s="5">
        <v>45644</v>
      </c>
      <c r="G61" s="6">
        <v>8.5</v>
      </c>
      <c r="I61" s="6">
        <v>1875</v>
      </c>
      <c r="K61" s="6">
        <v>175</v>
      </c>
      <c r="M61" s="6">
        <v>389.5</v>
      </c>
    </row>
    <row r="62" spans="1:13" x14ac:dyDescent="0.2">
      <c r="A62" s="10"/>
      <c r="B62" s="1"/>
      <c r="C62" s="7"/>
      <c r="D62" s="8"/>
    </row>
    <row r="63" spans="1:13" x14ac:dyDescent="0.2">
      <c r="A63" s="11" t="s">
        <v>82</v>
      </c>
      <c r="C63" s="2" t="s">
        <v>65</v>
      </c>
      <c r="E63" s="5" t="s">
        <v>38</v>
      </c>
      <c r="F63" s="5" t="s">
        <v>39</v>
      </c>
      <c r="G63" s="6">
        <v>8</v>
      </c>
      <c r="I63" s="6">
        <v>1803</v>
      </c>
      <c r="K63" s="6">
        <v>475.2</v>
      </c>
      <c r="M63" s="6">
        <v>432.86</v>
      </c>
    </row>
    <row r="64" spans="1:13" x14ac:dyDescent="0.2">
      <c r="E64" s="17" t="s">
        <v>40</v>
      </c>
      <c r="G64" s="6">
        <v>8.5</v>
      </c>
      <c r="I64" s="6">
        <v>1911</v>
      </c>
      <c r="K64" s="6">
        <v>475.2</v>
      </c>
      <c r="M64" s="6">
        <v>453.38</v>
      </c>
    </row>
    <row r="65" spans="1:13" x14ac:dyDescent="0.2">
      <c r="A65" s="11" t="s">
        <v>86</v>
      </c>
      <c r="E65" s="5">
        <v>45588</v>
      </c>
      <c r="I65" s="6">
        <v>155</v>
      </c>
      <c r="K65" s="6">
        <v>55</v>
      </c>
      <c r="M65" s="6">
        <v>39.9</v>
      </c>
    </row>
    <row r="66" spans="1:13" x14ac:dyDescent="0.2">
      <c r="A66" s="10" t="s">
        <v>41</v>
      </c>
      <c r="B66" s="1"/>
      <c r="C66" s="2">
        <v>258</v>
      </c>
    </row>
    <row r="69" spans="1:13" s="1" customFormat="1" x14ac:dyDescent="0.2">
      <c r="A69" s="10" t="s">
        <v>42</v>
      </c>
      <c r="C69" s="12">
        <f>SUM(C37,C43,C46,C47,C51,C52,C61,C62,C67,C66)</f>
        <v>2059</v>
      </c>
      <c r="D69" s="13"/>
      <c r="E69" s="4"/>
      <c r="F69" s="4"/>
      <c r="G69" s="14"/>
      <c r="H69" s="14"/>
      <c r="I69" s="14">
        <f>SUM(I38:I63)</f>
        <v>14663.36</v>
      </c>
      <c r="J69" s="14"/>
      <c r="K69" s="14">
        <f>SUM(K38:K63)</f>
        <v>4161.2</v>
      </c>
      <c r="L69" s="14"/>
      <c r="M69" s="14">
        <f>SUM(M38:M63)</f>
        <v>3531.0799999999995</v>
      </c>
    </row>
    <row r="70" spans="1:13" x14ac:dyDescent="0.2">
      <c r="A70" s="10" t="s">
        <v>57</v>
      </c>
      <c r="B70" s="1"/>
      <c r="C70" s="12" t="s">
        <v>6</v>
      </c>
      <c r="D70" s="13"/>
      <c r="E70" s="4" t="s">
        <v>1</v>
      </c>
      <c r="F70" s="4" t="s">
        <v>2</v>
      </c>
      <c r="G70" s="14" t="s">
        <v>3</v>
      </c>
      <c r="H70" s="14"/>
      <c r="I70" s="14" t="s">
        <v>4</v>
      </c>
      <c r="J70" s="14"/>
      <c r="K70" s="14" t="s">
        <v>8</v>
      </c>
      <c r="L70" s="14"/>
      <c r="M70" s="14" t="s">
        <v>5</v>
      </c>
    </row>
    <row r="71" spans="1:13" x14ac:dyDescent="0.2">
      <c r="A71" s="10"/>
      <c r="B71" s="1"/>
    </row>
    <row r="72" spans="1:13" x14ac:dyDescent="0.2">
      <c r="A72" s="10" t="s">
        <v>30</v>
      </c>
      <c r="B72" s="1"/>
    </row>
    <row r="74" spans="1:13" x14ac:dyDescent="0.2">
      <c r="A74" s="11" t="s">
        <v>66</v>
      </c>
      <c r="C74" s="2">
        <v>417</v>
      </c>
      <c r="E74" s="21" t="s">
        <v>83</v>
      </c>
      <c r="G74" s="6">
        <v>7.5</v>
      </c>
      <c r="I74" s="6">
        <v>3342.5</v>
      </c>
      <c r="K74" s="6">
        <v>700</v>
      </c>
      <c r="M74" s="6">
        <v>768.08</v>
      </c>
    </row>
    <row r="76" spans="1:13" x14ac:dyDescent="0.2">
      <c r="A76" s="10" t="s">
        <v>25</v>
      </c>
      <c r="B76" s="1"/>
    </row>
    <row r="77" spans="1:13" x14ac:dyDescent="0.2">
      <c r="A77" s="11" t="s">
        <v>44</v>
      </c>
      <c r="C77" s="2">
        <v>750</v>
      </c>
      <c r="E77" s="5">
        <v>46023</v>
      </c>
      <c r="F77" s="5" t="s">
        <v>87</v>
      </c>
      <c r="G77" s="6">
        <v>6.2</v>
      </c>
      <c r="I77" s="6">
        <v>4750</v>
      </c>
      <c r="K77" s="6">
        <v>1500</v>
      </c>
      <c r="M77" s="6">
        <v>1187.5</v>
      </c>
    </row>
    <row r="79" spans="1:13" x14ac:dyDescent="0.2">
      <c r="A79" s="10" t="s">
        <v>21</v>
      </c>
      <c r="B79" s="1"/>
    </row>
    <row r="80" spans="1:13" x14ac:dyDescent="0.2">
      <c r="A80" s="11" t="s">
        <v>45</v>
      </c>
      <c r="C80" s="2">
        <v>738</v>
      </c>
      <c r="E80" s="20">
        <v>46023</v>
      </c>
      <c r="F80" s="5" t="s">
        <v>87</v>
      </c>
      <c r="G80" s="6">
        <v>7.11</v>
      </c>
      <c r="I80" s="6">
        <v>5250</v>
      </c>
      <c r="K80" s="6">
        <v>1400</v>
      </c>
      <c r="M80" s="6">
        <v>1263.5</v>
      </c>
    </row>
    <row r="81" spans="1:13" x14ac:dyDescent="0.2">
      <c r="A81" s="11" t="s">
        <v>46</v>
      </c>
      <c r="C81" s="2">
        <v>59</v>
      </c>
      <c r="E81" s="5" t="s">
        <v>47</v>
      </c>
      <c r="G81" s="6">
        <v>3.5</v>
      </c>
      <c r="I81" s="6">
        <v>206.5</v>
      </c>
      <c r="K81" s="6">
        <v>59</v>
      </c>
      <c r="M81" s="6">
        <v>50.45</v>
      </c>
    </row>
    <row r="83" spans="1:13" x14ac:dyDescent="0.2">
      <c r="A83" s="10" t="s">
        <v>48</v>
      </c>
      <c r="B83" s="1"/>
      <c r="C83" s="2" t="s">
        <v>60</v>
      </c>
    </row>
    <row r="84" spans="1:13" x14ac:dyDescent="0.2">
      <c r="A84" s="11" t="s">
        <v>44</v>
      </c>
      <c r="C84" s="9">
        <v>1</v>
      </c>
      <c r="I84" s="6">
        <v>50</v>
      </c>
      <c r="M84" s="6">
        <v>9.5</v>
      </c>
    </row>
    <row r="85" spans="1:13" x14ac:dyDescent="0.2">
      <c r="A85" s="11" t="s">
        <v>49</v>
      </c>
      <c r="C85" s="9">
        <v>4</v>
      </c>
      <c r="I85" s="6">
        <v>160</v>
      </c>
      <c r="M85" s="6">
        <v>30.4</v>
      </c>
    </row>
    <row r="86" spans="1:13" x14ac:dyDescent="0.2">
      <c r="A86" s="11" t="s">
        <v>50</v>
      </c>
      <c r="C86" s="9">
        <v>1</v>
      </c>
      <c r="I86" s="6">
        <v>40</v>
      </c>
      <c r="M86" s="6">
        <v>7.6</v>
      </c>
    </row>
    <row r="87" spans="1:13" x14ac:dyDescent="0.2">
      <c r="A87" s="11" t="s">
        <v>51</v>
      </c>
      <c r="C87" s="9">
        <v>1</v>
      </c>
      <c r="I87" s="6">
        <v>40</v>
      </c>
      <c r="M87" s="6">
        <v>7.5</v>
      </c>
    </row>
    <row r="88" spans="1:13" x14ac:dyDescent="0.2">
      <c r="A88" s="11" t="s">
        <v>52</v>
      </c>
      <c r="C88" s="9">
        <v>2</v>
      </c>
      <c r="I88" s="6">
        <v>80</v>
      </c>
      <c r="M88" s="6">
        <v>15.2</v>
      </c>
    </row>
    <row r="89" spans="1:13" x14ac:dyDescent="0.2">
      <c r="A89" s="11" t="s">
        <v>53</v>
      </c>
      <c r="C89" s="9">
        <v>1</v>
      </c>
      <c r="I89" s="6">
        <v>40</v>
      </c>
      <c r="M89" s="6">
        <v>7.6</v>
      </c>
    </row>
    <row r="90" spans="1:13" x14ac:dyDescent="0.2">
      <c r="A90" s="11" t="s">
        <v>84</v>
      </c>
      <c r="C90" s="19">
        <v>1</v>
      </c>
      <c r="I90" s="6">
        <v>40</v>
      </c>
      <c r="M90" s="6">
        <v>7.6</v>
      </c>
    </row>
    <row r="91" spans="1:13" x14ac:dyDescent="0.2">
      <c r="A91" s="11" t="s">
        <v>42</v>
      </c>
      <c r="C91" s="2">
        <f>SUM(C73,C77,C80,C81)</f>
        <v>1547</v>
      </c>
      <c r="I91" s="6">
        <f>SUM(I74:I90)</f>
        <v>13999</v>
      </c>
      <c r="K91" s="6">
        <v>5587</v>
      </c>
      <c r="M91" s="6">
        <f>SUM(M74:M90)</f>
        <v>3354.9299999999994</v>
      </c>
    </row>
    <row r="97" spans="1:14" s="1" customFormat="1" x14ac:dyDescent="0.2">
      <c r="A97" s="10" t="s">
        <v>54</v>
      </c>
      <c r="C97" s="12">
        <v>8204</v>
      </c>
      <c r="D97" s="13"/>
      <c r="E97" s="4"/>
      <c r="F97" s="4"/>
      <c r="G97" s="14"/>
      <c r="H97" s="14"/>
      <c r="I97" s="14">
        <f>SUM(I91,I69,I24)</f>
        <v>53631.360000000001</v>
      </c>
      <c r="J97" s="14"/>
      <c r="K97" s="14">
        <f>SUM(K91,K69,K24)</f>
        <v>21493.200000000001</v>
      </c>
      <c r="L97" s="14"/>
      <c r="M97" s="14">
        <f>SUM(M91,M69,M24)</f>
        <v>13364.059999999998</v>
      </c>
    </row>
    <row r="98" spans="1:14" s="1" customFormat="1" x14ac:dyDescent="0.2">
      <c r="A98" s="10" t="s">
        <v>62</v>
      </c>
      <c r="C98" s="12">
        <f>C97</f>
        <v>8204</v>
      </c>
      <c r="D98" s="13"/>
      <c r="E98" s="4"/>
      <c r="F98" s="4"/>
      <c r="G98" s="14"/>
      <c r="H98" s="14"/>
      <c r="I98" s="14">
        <f>I97*12</f>
        <v>643576.32000000007</v>
      </c>
      <c r="J98" s="14"/>
      <c r="K98" s="14">
        <f>K97*12</f>
        <v>257918.40000000002</v>
      </c>
      <c r="L98" s="14"/>
      <c r="M98" s="14">
        <f>M97*12</f>
        <v>160368.71999999997</v>
      </c>
      <c r="N98" s="16"/>
    </row>
    <row r="99" spans="1:14" s="1" customFormat="1" x14ac:dyDescent="0.2">
      <c r="A99" s="10"/>
      <c r="C99" s="12"/>
      <c r="D99" s="13"/>
      <c r="E99" s="14"/>
      <c r="F99" s="4"/>
      <c r="G99" s="14"/>
      <c r="H99" s="14"/>
      <c r="I99" s="14"/>
      <c r="J99" s="14"/>
      <c r="K99" s="14"/>
      <c r="L99" s="14"/>
      <c r="M99" s="14"/>
    </row>
  </sheetData>
  <pageMargins left="0.7" right="0.7" top="0.75" bottom="0.75" header="0.3" footer="0.3"/>
  <pageSetup paperSize="9" orientation="landscape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b.enzmann@nc-verwaltung.de</cp:lastModifiedBy>
  <cp:lastPrinted>2025-03-27T11:52:57Z</cp:lastPrinted>
  <dcterms:created xsi:type="dcterms:W3CDTF">2023-02-08T09:45:25Z</dcterms:created>
  <dcterms:modified xsi:type="dcterms:W3CDTF">2026-05-26T12:33:55Z</dcterms:modified>
</cp:coreProperties>
</file>